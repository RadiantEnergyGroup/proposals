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radiantsolarenergygroup456-my.sharepoint.com/personal/info_radiantsolar_ca/Documents/"/>
    </mc:Choice>
  </mc:AlternateContent>
  <xr:revisionPtr revIDLastSave="12" documentId="8_{1B305D4A-DFDA-4F40-8152-5B25510FE2F4}" xr6:coauthVersionLast="47" xr6:coauthVersionMax="47" xr10:uidLastSave="{A5CB6AF8-FF8E-49EC-A46E-40E915EFDCB6}"/>
  <bookViews>
    <workbookView xWindow="1600" yWindow="660" windowWidth="27040" windowHeight="15540" xr2:uid="{00000000-000D-0000-FFFF-FFFF00000000}"/>
  </bookViews>
  <sheets>
    <sheet name="US" sheetId="4" r:id="rId1"/>
    <sheet name="CAN" sheetId="1" r:id="rId2"/>
    <sheet name="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26" i="1"/>
  <c r="C27" i="4"/>
  <c r="C46" i="4"/>
  <c r="C9" i="4"/>
  <c r="C14" i="4"/>
  <c r="C23" i="1"/>
  <c r="C13" i="1"/>
  <c r="C21" i="1" s="1"/>
  <c r="C16" i="4"/>
  <c r="C21" i="4"/>
  <c r="C29" i="4"/>
  <c r="C28" i="1" l="1"/>
  <c r="C24" i="1"/>
  <c r="C14" i="1"/>
  <c r="C27" i="1" s="1"/>
  <c r="C32" i="4"/>
  <c r="C39" i="4"/>
  <c r="C43" i="4" s="1"/>
  <c r="C44" i="4" s="1"/>
  <c r="C33" i="4"/>
  <c r="C34" i="4" s="1"/>
  <c r="C28" i="4"/>
  <c r="C25" i="4"/>
  <c r="C15" i="4"/>
  <c r="C29" i="1" l="1"/>
  <c r="C30" i="1" s="1"/>
  <c r="C31" i="4"/>
  <c r="C30" i="4"/>
  <c r="C47" i="4" s="1"/>
  <c r="C56" i="4"/>
  <c r="E57" i="4"/>
  <c r="D57" i="4" s="1"/>
  <c r="E36" i="1" l="1"/>
  <c r="D36" i="1" s="1"/>
  <c r="C35" i="1"/>
  <c r="C49" i="4"/>
  <c r="C48" i="4"/>
  <c r="E58" i="4"/>
  <c r="C57" i="4"/>
  <c r="C36" i="1" l="1"/>
  <c r="E37" i="1"/>
  <c r="D58" i="4"/>
  <c r="C58" i="4" s="1"/>
  <c r="E59" i="4"/>
  <c r="D37" i="1" l="1"/>
  <c r="C37" i="1" s="1"/>
  <c r="E38" i="1"/>
  <c r="D38" i="1" s="1"/>
  <c r="D59" i="4"/>
  <c r="C59" i="4" s="1"/>
  <c r="E60" i="4"/>
  <c r="D60" i="4" s="1"/>
  <c r="E39" i="1" l="1"/>
  <c r="D39" i="1" s="1"/>
  <c r="C38" i="1"/>
  <c r="C60" i="4"/>
  <c r="E61" i="4"/>
  <c r="E40" i="1" l="1"/>
  <c r="D40" i="1" s="1"/>
  <c r="C39" i="1"/>
  <c r="E41" i="1"/>
  <c r="D41" i="1" s="1"/>
  <c r="D61" i="4"/>
  <c r="C61" i="4" s="1"/>
  <c r="E62" i="4"/>
  <c r="C40" i="1" l="1"/>
  <c r="C41" i="1" s="1"/>
  <c r="E42" i="1"/>
  <c r="D42" i="1" s="1"/>
  <c r="D62" i="4"/>
  <c r="E63" i="4"/>
  <c r="C62" i="4"/>
  <c r="E43" i="1" l="1"/>
  <c r="D43" i="1" s="1"/>
  <c r="C42" i="1"/>
  <c r="D63" i="4"/>
  <c r="C63" i="4" s="1"/>
  <c r="E64" i="4"/>
  <c r="C43" i="1" l="1"/>
  <c r="E44" i="1"/>
  <c r="D64" i="4"/>
  <c r="C64" i="4" s="1"/>
  <c r="E65" i="4"/>
  <c r="D44" i="1" l="1"/>
  <c r="C44" i="1" s="1"/>
  <c r="E45" i="1"/>
  <c r="D65" i="4"/>
  <c r="C65" i="4" s="1"/>
  <c r="E66" i="4"/>
  <c r="D45" i="1" l="1"/>
  <c r="C45" i="1" s="1"/>
  <c r="E46" i="1"/>
  <c r="D46" i="1" s="1"/>
  <c r="D66" i="4"/>
  <c r="C66" i="4" s="1"/>
  <c r="E67" i="4"/>
  <c r="C46" i="1" l="1"/>
  <c r="D67" i="4"/>
  <c r="C67" i="4" s="1"/>
  <c r="E68" i="4"/>
  <c r="D68" i="4" s="1"/>
  <c r="C34" i="1" l="1"/>
  <c r="C31" i="1" a="1"/>
  <c r="C31" i="1" s="1"/>
  <c r="C68" i="4"/>
  <c r="C69" i="4" s="1"/>
  <c r="C35" i="4" s="1" a="1"/>
  <c r="C35" i="4" s="1"/>
  <c r="C5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<sst xmlns="http://schemas.openxmlformats.org/spreadsheetml/2006/main" count="132" uniqueCount="76">
  <si>
    <t>Commercial Cost Sheet for US</t>
  </si>
  <si>
    <t>Current Annual Consumption</t>
  </si>
  <si>
    <t>kWh</t>
  </si>
  <si>
    <t>Type of Building</t>
  </si>
  <si>
    <t>Multi-Residential</t>
  </si>
  <si>
    <t>Battery (Peak Shaving)</t>
  </si>
  <si>
    <t>No</t>
  </si>
  <si>
    <t>How much space is available</t>
  </si>
  <si>
    <t>sq-ft</t>
  </si>
  <si>
    <t>System Size (Manual Entry)</t>
  </si>
  <si>
    <t>kW</t>
  </si>
  <si>
    <t>Enter Zero for auto System size calculation</t>
  </si>
  <si>
    <t>Battery Capacity</t>
  </si>
  <si>
    <t>Electricity Rate</t>
  </si>
  <si>
    <t>$/kWh</t>
  </si>
  <si>
    <t>CCA 1st year rule</t>
  </si>
  <si>
    <t>CCA 1st year and beyond</t>
  </si>
  <si>
    <t>Corporate Tax Rate (Federal)</t>
  </si>
  <si>
    <t>Solar System Size</t>
  </si>
  <si>
    <t>Estimated Solar System Cost</t>
  </si>
  <si>
    <t>Estimated Battery System Cost</t>
  </si>
  <si>
    <t>Electricity Rate Increases</t>
  </si>
  <si>
    <t>Price per Watt (Solar)</t>
  </si>
  <si>
    <t>Price per Watt.Hour (Battery)</t>
  </si>
  <si>
    <t>Discount Rate</t>
  </si>
  <si>
    <t>Total Price per Watt</t>
  </si>
  <si>
    <t>Watt</t>
  </si>
  <si>
    <t>System Size</t>
  </si>
  <si>
    <t>Metric</t>
  </si>
  <si>
    <t>Load Displacement</t>
  </si>
  <si>
    <t>Energy Purchased (kWh/year)</t>
  </si>
  <si>
    <t>Solar Energy Savings (kWh/year)</t>
  </si>
  <si>
    <t>Battery Energy Savings (kWh/year)</t>
  </si>
  <si>
    <t>Estimated Annual Savings (USD)</t>
  </si>
  <si>
    <t>Estimated Bill Offset (%)</t>
  </si>
  <si>
    <t>System Gross Cost (USD)</t>
  </si>
  <si>
    <t>LESS: 30% Tax Credit  (USD)</t>
  </si>
  <si>
    <t>NET System Cost (USD)</t>
  </si>
  <si>
    <t>Payback Years</t>
  </si>
  <si>
    <t>Financing</t>
  </si>
  <si>
    <t>$$</t>
  </si>
  <si>
    <t>Project Cost</t>
  </si>
  <si>
    <t>Downpayment</t>
  </si>
  <si>
    <t>Loan Term (years)</t>
  </si>
  <si>
    <t>Interest Rate</t>
  </si>
  <si>
    <t>Loan Principle</t>
  </si>
  <si>
    <t>Monthly Financing Payments</t>
  </si>
  <si>
    <t>Current Monthly Electricity Bill</t>
  </si>
  <si>
    <t>Total after Solar (Utility + Financing)</t>
  </si>
  <si>
    <t>Yearly Savings</t>
  </si>
  <si>
    <t>Savings</t>
  </si>
  <si>
    <t>NPV</t>
  </si>
  <si>
    <t>CCA</t>
  </si>
  <si>
    <t>Depreciated Amount</t>
  </si>
  <si>
    <t>Year</t>
  </si>
  <si>
    <t>Costing Sheet for (Solar) Ontario Renovators Inc.</t>
  </si>
  <si>
    <t>Daytime-Heavy Commercial</t>
  </si>
  <si>
    <t>Renovations Team Markup</t>
  </si>
  <si>
    <t>Corporate Tax Rate</t>
  </si>
  <si>
    <t>Solar System Cost</t>
  </si>
  <si>
    <t>Price per Watt</t>
  </si>
  <si>
    <t>Energy Generated (kWh/year)</t>
  </si>
  <si>
    <t>Annual Savings (CAD)</t>
  </si>
  <si>
    <t>System Gross Cost (CAD)</t>
  </si>
  <si>
    <t>LESS: Save on Energy Rebate Solar</t>
  </si>
  <si>
    <t>LESS: 30% ITC Amount (CAD)</t>
  </si>
  <si>
    <t>NET System Cost (CAD)</t>
  </si>
  <si>
    <t>Load Profile</t>
  </si>
  <si>
    <t>Bill Offset</t>
  </si>
  <si>
    <t>Battery</t>
  </si>
  <si>
    <t>Yes - 1 Hour</t>
  </si>
  <si>
    <t>Yes - 2 Hours</t>
  </si>
  <si>
    <t>Yes - 3 Hours</t>
  </si>
  <si>
    <t>24/7 Electricity usage</t>
  </si>
  <si>
    <t>Yes - 4 Hours</t>
  </si>
  <si>
    <t>Low-daytime-load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</si>
</sst>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;\-&quot;$&quot;#,##0"/>
    <numFmt numFmtId="165" formatCode="_(* #,##0_);_(* \(#,##0\);_(* &quot;-&quot;??_);_(@_)"/>
    <numFmt numFmtId="166" formatCode="_(&quot;$&quot;* #,##0_);_(&quot;$&quot;* \(#,##0\);_(&quot;$&quot;* &quot;-&quot;??_);_(@_)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Title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/>
    </xf>
    <xf numFmtId="9" fontId="0" fillId="0" borderId="0" xfId="3" applyFont="1"/>
    <xf numFmtId="165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2" applyNumberFormat="1" applyFont="1" applyAlignment="1">
      <alignment horizontal="center"/>
    </xf>
    <xf numFmtId="1" fontId="0" fillId="0" borderId="0" xfId="2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3" fontId="0" fillId="0" borderId="0" xfId="0" applyNumberFormat="1"/>
    <xf numFmtId="165" fontId="0" fillId="3" borderId="0" xfId="1" applyNumberFormat="1" applyFont="1" applyFill="1"/>
    <xf numFmtId="166" fontId="0" fillId="3" borderId="0" xfId="2" applyNumberFormat="1" applyFont="1" applyFill="1"/>
    <xf numFmtId="165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1" fontId="0" fillId="0" borderId="0" xfId="2" applyNumberFormat="1" applyFont="1" applyAlignment="1">
      <alignment horizontal="center" vertical="center"/>
    </xf>
    <xf numFmtId="9" fontId="0" fillId="0" borderId="0" xfId="3" applyFont="1" applyFill="1" applyProtection="1">
      <protection hidden="1"/>
    </xf>
    <xf numFmtId="0" fontId="0" fillId="0" borderId="0" xfId="0" applyProtection="1">
      <protection hidden="1"/>
    </xf>
    <xf numFmtId="165" fontId="0" fillId="0" borderId="0" xfId="0" applyNumberFormat="1" applyProtection="1">
      <protection hidden="1"/>
    </xf>
    <xf numFmtId="166" fontId="0" fillId="0" borderId="0" xfId="2" applyNumberFormat="1" applyFont="1" applyFill="1" applyProtection="1">
      <protection hidden="1"/>
    </xf>
    <xf numFmtId="0" fontId="0" fillId="0" borderId="0" xfId="0" quotePrefix="1" applyProtection="1">
      <protection hidden="1"/>
    </xf>
    <xf numFmtId="5" fontId="0" fillId="0" borderId="0" xfId="0" applyNumberFormat="1"/>
    <xf numFmtId="8" fontId="0" fillId="0" borderId="0" xfId="0" applyNumberFormat="1"/>
    <xf numFmtId="5" fontId="0" fillId="0" borderId="0" xfId="2" applyNumberFormat="1" applyFont="1" applyFill="1"/>
    <xf numFmtId="44" fontId="0" fillId="0" borderId="0" xfId="2" applyFont="1" applyFill="1"/>
    <xf numFmtId="44" fontId="0" fillId="0" borderId="0" xfId="0" applyNumberFormat="1"/>
    <xf numFmtId="6" fontId="0" fillId="0" borderId="0" xfId="0" applyNumberFormat="1"/>
    <xf numFmtId="44" fontId="0" fillId="3" borderId="0" xfId="2" applyFont="1" applyFill="1" applyProtection="1">
      <protection hidden="1"/>
    </xf>
    <xf numFmtId="0" fontId="5" fillId="0" borderId="0" xfId="0" applyFont="1"/>
    <xf numFmtId="164" fontId="5" fillId="0" borderId="0" xfId="0" applyNumberFormat="1" applyFont="1" applyAlignment="1">
      <alignment horizontal="center" vertical="center"/>
    </xf>
    <xf numFmtId="165" fontId="0" fillId="0" borderId="0" xfId="1" applyNumberFormat="1" applyFont="1" applyFill="1"/>
    <xf numFmtId="165" fontId="0" fillId="3" borderId="0" xfId="1" applyNumberFormat="1" applyFont="1" applyFill="1" applyAlignment="1">
      <alignment horizontal="center" vertical="center"/>
    </xf>
    <xf numFmtId="9" fontId="0" fillId="3" borderId="0" xfId="3" applyFont="1" applyFill="1" applyProtection="1">
      <protection hidden="1"/>
    </xf>
    <xf numFmtId="9" fontId="0" fillId="0" borderId="0" xfId="3" applyFont="1" applyAlignment="1">
      <alignment horizontal="center" vertical="center"/>
    </xf>
    <xf numFmtId="44" fontId="0" fillId="0" borderId="0" xfId="2" applyFont="1" applyFill="1" applyProtection="1">
      <protection hidden="1"/>
    </xf>
    <xf numFmtId="0" fontId="0" fillId="3" borderId="0" xfId="0" applyFill="1" applyProtection="1">
      <protection hidden="1"/>
    </xf>
    <xf numFmtId="8" fontId="0" fillId="0" borderId="0" xfId="2" applyNumberFormat="1" applyFont="1" applyAlignment="1">
      <alignment horizontal="center" vertical="center"/>
    </xf>
    <xf numFmtId="0" fontId="6" fillId="4" borderId="0" xfId="0" applyFont="1" applyFill="1"/>
    <xf numFmtId="166" fontId="6" fillId="4" borderId="0" xfId="2" applyNumberFormat="1" applyFont="1" applyFill="1" applyAlignment="1">
      <alignment horizontal="center" vertical="center"/>
    </xf>
    <xf numFmtId="9" fontId="0" fillId="0" borderId="0" xfId="3" applyFont="1" applyAlignment="1">
      <alignment horizontal="center"/>
    </xf>
    <xf numFmtId="164" fontId="0" fillId="0" borderId="0" xfId="0" applyNumberFormat="1"/>
    <xf numFmtId="166" fontId="0" fillId="0" borderId="0" xfId="0" applyNumberFormat="1"/>
    <xf numFmtId="166" fontId="0" fillId="0" borderId="0" xfId="3" applyNumberFormat="1" applyFont="1" applyAlignment="1">
      <alignment horizontal="center"/>
    </xf>
    <xf numFmtId="0" fontId="5" fillId="4" borderId="0" xfId="0" applyFont="1" applyFill="1"/>
    <xf numFmtId="166" fontId="5" fillId="4" borderId="0" xfId="3" applyNumberFormat="1" applyFont="1" applyFill="1" applyAlignment="1">
      <alignment horizontal="center"/>
    </xf>
    <xf numFmtId="9" fontId="5" fillId="4" borderId="0" xfId="3" applyFont="1" applyFill="1" applyAlignment="1">
      <alignment horizontal="center" vertical="center"/>
    </xf>
    <xf numFmtId="166" fontId="6" fillId="4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6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(&quot;$&quot;* #,##0_);_(&quot;$&quot;* \(#,##0\);_(&quot;$&quot;* &quot;-&quot;??_);_(@_)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Deal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US!$B$56:$B$69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US!$C$56:$C$69</c:f>
              <c:numCache>
                <c:formatCode>"$"#,##0_);\("$"#,##0\)</c:formatCode>
                <c:ptCount val="14"/>
                <c:pt idx="0">
                  <c:v>-777000</c:v>
                </c:pt>
                <c:pt idx="1">
                  <c:v>-627949.20000000007</c:v>
                </c:pt>
                <c:pt idx="2">
                  <c:v>-470717.25600000005</c:v>
                </c:pt>
                <c:pt idx="3">
                  <c:v>-337741.45824000007</c:v>
                </c:pt>
                <c:pt idx="4">
                  <c:v>-199446.62856960003</c:v>
                </c:pt>
                <c:pt idx="5" formatCode="&quot;$&quot;#,##0_);[Red]\(&quot;$&quot;#,##0\)">
                  <c:v>-55620.00571238398</c:v>
                </c:pt>
                <c:pt idx="6" formatCode="&quot;$&quot;#,##0_);[Red]\(&quot;$&quot;#,##0\)">
                  <c:v>93959.682059120707</c:v>
                </c:pt>
                <c:pt idx="7" formatCode="&quot;$&quot;#,##0_);[Red]\(&quot;$&quot;#,##0\)">
                  <c:v>249522.55734148558</c:v>
                </c:pt>
                <c:pt idx="8" formatCode="&quot;$&quot;#,##0_);[Red]\(&quot;$&quot;#,##0\)">
                  <c:v>411307.94763514504</c:v>
                </c:pt>
                <c:pt idx="9" formatCode="&quot;$&quot;#,##0_);[Red]\(&quot;$&quot;#,##0\)">
                  <c:v>579564.75354055094</c:v>
                </c:pt>
                <c:pt idx="10" formatCode="&quot;$&quot;#,##0_);[Red]\(&quot;$&quot;#,##0\)">
                  <c:v>754551.83168217307</c:v>
                </c:pt>
                <c:pt idx="11" formatCode="&quot;$&quot;#,##0_);[Red]\(&quot;$&quot;#,##0\)">
                  <c:v>936538.39294946007</c:v>
                </c:pt>
                <c:pt idx="12" formatCode="&quot;$&quot;#,##0_);[Red]\(&quot;$&quot;#,##0\)">
                  <c:v>1125804.4166674386</c:v>
                </c:pt>
                <c:pt idx="13" formatCode="&quot;$&quot;#,##0_);[Red]\(&quot;$&quot;#,##0\)">
                  <c:v>1322641.0813341362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2-FB48-8011-68AA7CD0B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501280"/>
        <c:axId val="362437488"/>
      </c:barChart>
      <c:catAx>
        <c:axId val="36250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437488"/>
        <c:crosses val="autoZero"/>
        <c:auto val="1"/>
        <c:lblAlgn val="ctr"/>
        <c:lblOffset val="100"/>
        <c:noMultiLvlLbl val="0"/>
      </c:catAx>
      <c:valAx>
        <c:axId val="36243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0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Cashflow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CAN!$B$35:$B$46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CAN!$C$35:$C$46</c:f>
              <c:numCache>
                <c:formatCode>"$"#,##0_);\("$"#,##0\)</c:formatCode>
                <c:ptCount val="12"/>
                <c:pt idx="0">
                  <c:v>-449400</c:v>
                </c:pt>
                <c:pt idx="1">
                  <c:v>-202814.73016000001</c:v>
                </c:pt>
                <c:pt idx="2">
                  <c:v>32648.768073600018</c:v>
                </c:pt>
                <c:pt idx="3">
                  <c:v>261125.90863654402</c:v>
                </c:pt>
                <c:pt idx="4">
                  <c:v>498742.13482200581</c:v>
                </c:pt>
                <c:pt idx="5" formatCode="&quot;$&quot;#,##0_);[Red]\(&quot;$&quot;#,##0\)">
                  <c:v>745863.01005488611</c:v>
                </c:pt>
                <c:pt idx="6" formatCode="&quot;$&quot;#,##0_);[Red]\(&quot;$&quot;#,##0\)">
                  <c:v>1002868.7202970816</c:v>
                </c:pt>
                <c:pt idx="7" formatCode="&quot;$&quot;#,##0_);[Red]\(&quot;$&quot;#,##0\)">
                  <c:v>1270154.6589489649</c:v>
                </c:pt>
                <c:pt idx="8" formatCode="&quot;$&quot;#,##0_);[Red]\(&quot;$&quot;#,##0\)">
                  <c:v>1548132.0351469235</c:v>
                </c:pt>
                <c:pt idx="9" formatCode="&quot;$&quot;#,##0_);[Red]\(&quot;$&quot;#,##0\)">
                  <c:v>1837228.5063928005</c:v>
                </c:pt>
                <c:pt idx="10" formatCode="&quot;$&quot;#,##0_);[Red]\(&quot;$&quot;#,##0\)">
                  <c:v>2137888.8364885128</c:v>
                </c:pt>
                <c:pt idx="11" formatCode="&quot;$&quot;#,##0_);[Red]\(&quot;$&quot;#,##0\)">
                  <c:v>2450575.5797880534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E-C64F-A1F9-877153C47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501280"/>
        <c:axId val="362437488"/>
      </c:barChart>
      <c:catAx>
        <c:axId val="36250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437488"/>
        <c:crosses val="autoZero"/>
        <c:auto val="1"/>
        <c:lblAlgn val="ctr"/>
        <c:lblOffset val="100"/>
        <c:noMultiLvlLbl val="0"/>
      </c:catAx>
      <c:valAx>
        <c:axId val="36243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0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847514</xdr:colOff>
      <xdr:row>3</xdr:row>
      <xdr:rowOff>106824</xdr:rowOff>
    </xdr:from>
    <xdr:to>
      <xdr:col>9</xdr:col>
      <xdr:colOff>547593</xdr:colOff>
      <xdr:row>24</xdr:row>
      <xdr:rowOff>115148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222CD2-0832-124B-8D6E-768DBAC6B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917701</xdr:colOff>
      <xdr:row>9</xdr:row>
      <xdr:rowOff>128004</xdr:rowOff>
    </xdr:from>
    <xdr:to>
      <xdr:col>9</xdr:col>
      <xdr:colOff>617780</xdr:colOff>
      <xdr:row>26</xdr:row>
      <xdr:rowOff>136328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30F531-4A30-8212-CB07-9B9A5D15D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87A6A1-74A5-5A46-BE6C-4E3F1ADB8F19}" name="OptionsTable3" displayName="OptionsTable3" ref="B26:C35">
  <autoFilter ref="B26:C35" xr:uid="{00000000-0009-0000-0100-000001000000}"/>
  <tableColumns count="2">
    <tableColumn id="1" xr3:uid="{483CE73F-BC22-784C-AE9C-60F830FB2474}" name="Metric"/>
    <tableColumn id="2" xr3:uid="{343A37AB-4820-AC49-8EAF-6FCA895C700B}" name="Load Displacement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3EFE6E-1FA3-AA4B-91BC-E413801FB245}" name="Table3" displayName="Table3" ref="B38:C47" totalsRowCount="1" totalsRowDxfId="4">
  <autoFilter ref="B38:C46" xr:uid="{243EFE6E-1FA3-AA4B-91BC-E413801FB245}"/>
  <tableColumns count="2">
    <tableColumn id="1" xr3:uid="{B997A24E-2430-D04C-A28D-43D25CF9A16E}" name="Financing" totalsRowLabel="Total after Solar (Utility + Financing)" totalsRowDxfId="3"/>
    <tableColumn id="2" xr3:uid="{73674655-9961-434E-814C-4615779F8481}" name="$$" totalsRowFunction="custom" dataDxfId="1" totalsRowDxfId="2" dataCellStyle="Currency">
      <calculatedColumnFormula>C32</calculatedColumnFormula>
      <totalsRowFormula>(C46-C30/12)+C44</totalsRow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tionsTable" displayName="OptionsTable" ref="B22:C31">
  <autoFilter ref="B22:C31" xr:uid="{00000000-0009-0000-0100-000001000000}"/>
  <tableColumns count="2">
    <tableColumn id="1" xr3:uid="{00000000-0010-0000-0000-000001000000}" name="Metric"/>
    <tableColumn id="2" xr3:uid="{00000000-0010-0000-0000-000002000000}" name="Load Displace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63B78-0267-5042-AE00-C879AEF8E0AB}">
  <dimension ref="A2:Q69"/>
  <sheetViews>
    <sheetView tabSelected="1" topLeftCell="A32" zoomScale="170" zoomScaleNormal="170" workbookViewId="0">
      <selection activeCell="C19" sqref="C19"/>
    </sheetView>
  </sheetViews>
  <sheetFormatPr defaultColWidth="8.85546875" defaultRowHeight="15"/>
  <cols>
    <col min="1" max="1" width="4.85546875" customWidth="1"/>
    <col min="2" max="2" width="30" customWidth="1"/>
    <col min="3" max="3" width="18" customWidth="1"/>
    <col min="4" max="4" width="12.42578125" customWidth="1"/>
    <col min="5" max="5" width="15" customWidth="1"/>
    <col min="6" max="6" width="12.140625" bestFit="1" customWidth="1"/>
  </cols>
  <sheetData>
    <row r="2" spans="2:6">
      <c r="B2" s="49" t="s">
        <v>0</v>
      </c>
      <c r="C2" s="49"/>
      <c r="D2" s="49"/>
    </row>
    <row r="4" spans="2:6">
      <c r="B4" t="s">
        <v>1</v>
      </c>
      <c r="C4" s="10">
        <v>20000</v>
      </c>
      <c r="D4" t="s">
        <v>2</v>
      </c>
      <c r="E4" s="9"/>
      <c r="F4" s="9"/>
    </row>
    <row r="5" spans="2:6">
      <c r="B5" t="s">
        <v>3</v>
      </c>
      <c r="C5" s="10" t="s">
        <v>4</v>
      </c>
    </row>
    <row r="6" spans="2:6">
      <c r="B6" t="s">
        <v>5</v>
      </c>
      <c r="C6" s="33" t="s">
        <v>6</v>
      </c>
    </row>
    <row r="7" spans="2:6">
      <c r="B7" t="s">
        <v>7</v>
      </c>
      <c r="C7" s="10">
        <v>0</v>
      </c>
      <c r="D7" t="s">
        <v>8</v>
      </c>
      <c r="E7" s="9"/>
    </row>
    <row r="8" spans="2:6">
      <c r="B8" t="s">
        <v>9</v>
      </c>
      <c r="C8" s="10">
        <v>370</v>
      </c>
      <c r="D8" t="s">
        <v>10</v>
      </c>
      <c r="E8" s="9" t="s">
        <v>11</v>
      </c>
    </row>
    <row r="9" spans="2:6">
      <c r="B9" t="s">
        <v>12</v>
      </c>
      <c r="C9" s="32">
        <f>$C$4/365/24*VLOOKUP(C6, Data!E1:F5, 2, FALSE)</f>
        <v>0</v>
      </c>
      <c r="D9" t="s">
        <v>2</v>
      </c>
      <c r="E9" s="9"/>
    </row>
    <row r="10" spans="2:6">
      <c r="B10" s="19" t="s">
        <v>13</v>
      </c>
      <c r="C10" s="37">
        <v>0.21299999999999999</v>
      </c>
      <c r="D10" s="19" t="s">
        <v>14</v>
      </c>
    </row>
    <row r="11" spans="2:6">
      <c r="B11" s="19" t="s">
        <v>15</v>
      </c>
      <c r="C11" s="18">
        <v>0.4</v>
      </c>
      <c r="D11" s="19"/>
    </row>
    <row r="12" spans="2:6">
      <c r="B12" s="19" t="s">
        <v>16</v>
      </c>
      <c r="C12" s="18">
        <v>0.3</v>
      </c>
      <c r="D12" s="20"/>
    </row>
    <row r="13" spans="2:6">
      <c r="B13" s="19" t="s">
        <v>17</v>
      </c>
      <c r="C13" s="18">
        <v>0.21</v>
      </c>
      <c r="D13" s="19"/>
    </row>
    <row r="14" spans="2:6">
      <c r="B14" s="19" t="s">
        <v>18</v>
      </c>
      <c r="C14" s="20">
        <f>IF(C8 = 0, MIN(C4/1200,ROUND(C7/100,0)), C8)</f>
        <v>370</v>
      </c>
      <c r="D14" s="19" t="s">
        <v>10</v>
      </c>
    </row>
    <row r="15" spans="2:6">
      <c r="B15" s="19" t="s">
        <v>19</v>
      </c>
      <c r="C15" s="21">
        <f>C14*1000*C18</f>
        <v>1110000</v>
      </c>
      <c r="D15" s="22"/>
    </row>
    <row r="16" spans="2:6">
      <c r="B16" s="19" t="s">
        <v>20</v>
      </c>
      <c r="C16" s="21">
        <f>$C$9*C19*1000</f>
        <v>0</v>
      </c>
      <c r="D16" s="22"/>
    </row>
    <row r="17" spans="2:5">
      <c r="B17" s="19" t="s">
        <v>21</v>
      </c>
      <c r="C17" s="18">
        <v>0.04</v>
      </c>
      <c r="D17" s="18"/>
    </row>
    <row r="18" spans="2:5">
      <c r="B18" s="19" t="s">
        <v>22</v>
      </c>
      <c r="C18" s="29">
        <v>3</v>
      </c>
      <c r="D18" s="18"/>
    </row>
    <row r="19" spans="2:5">
      <c r="B19" s="19" t="s">
        <v>23</v>
      </c>
      <c r="C19" s="29">
        <v>0</v>
      </c>
      <c r="D19" s="18"/>
    </row>
    <row r="20" spans="2:5">
      <c r="B20" s="19" t="s">
        <v>24</v>
      </c>
      <c r="C20" s="34">
        <v>0.1</v>
      </c>
      <c r="D20" s="18"/>
    </row>
    <row r="21" spans="2:5">
      <c r="B21" s="19" t="s">
        <v>25</v>
      </c>
      <c r="C21" s="36">
        <f>C18+IF(C9&lt;&gt;0, C19, 0)</f>
        <v>3</v>
      </c>
      <c r="D21" s="18" t="s">
        <v>26</v>
      </c>
    </row>
    <row r="22" spans="2:5">
      <c r="B22" s="19"/>
      <c r="C22" s="18"/>
      <c r="D22" s="18"/>
    </row>
    <row r="23" spans="2:5">
      <c r="B23" s="19"/>
      <c r="C23" s="18"/>
      <c r="D23" s="18"/>
    </row>
    <row r="24" spans="2:5">
      <c r="C24" s="2"/>
      <c r="D24" s="2"/>
    </row>
    <row r="25" spans="2:5">
      <c r="B25" t="s">
        <v>27</v>
      </c>
      <c r="C25" s="12" t="str">
        <f>ROUND(C14,0) &amp;" kW"</f>
        <v>370 kW</v>
      </c>
    </row>
    <row r="26" spans="2:5">
      <c r="B26" s="1" t="s">
        <v>28</v>
      </c>
      <c r="C26" s="1" t="s">
        <v>29</v>
      </c>
      <c r="D26" s="8"/>
    </row>
    <row r="27" spans="2:5">
      <c r="B27" t="s">
        <v>30</v>
      </c>
      <c r="C27" s="13">
        <f>C4*(1-VLOOKUP(C5, Data!A2:B5, 2, 0))</f>
        <v>8600.0000000000018</v>
      </c>
      <c r="D27" s="3"/>
    </row>
    <row r="28" spans="2:5">
      <c r="B28" t="s">
        <v>31</v>
      </c>
      <c r="C28" s="13">
        <f>$C$14*1500</f>
        <v>555000</v>
      </c>
      <c r="D28" s="3"/>
    </row>
    <row r="29" spans="2:5">
      <c r="B29" t="s">
        <v>32</v>
      </c>
      <c r="C29" s="13">
        <f>C9*365</f>
        <v>0</v>
      </c>
      <c r="D29" s="3"/>
    </row>
    <row r="30" spans="2:5">
      <c r="B30" t="s">
        <v>33</v>
      </c>
      <c r="C30" s="14">
        <f>SUM(C28:C29)*C10</f>
        <v>118215</v>
      </c>
      <c r="D30" s="4"/>
    </row>
    <row r="31" spans="2:5">
      <c r="B31" t="s">
        <v>34</v>
      </c>
      <c r="C31" s="15">
        <f>SUM(C28:C29)/$C$4</f>
        <v>27.75</v>
      </c>
      <c r="D31" s="5"/>
    </row>
    <row r="32" spans="2:5">
      <c r="B32" s="30" t="s">
        <v>35</v>
      </c>
      <c r="C32" s="31">
        <f>$C$21*1000*$C$14</f>
        <v>1110000</v>
      </c>
      <c r="D32" s="4"/>
      <c r="E32" s="42"/>
    </row>
    <row r="33" spans="2:17">
      <c r="B33" t="s">
        <v>36</v>
      </c>
      <c r="C33" s="16">
        <f>-1*SUM(C32:C32)*0.3</f>
        <v>-333000</v>
      </c>
      <c r="D33" s="6"/>
    </row>
    <row r="34" spans="2:17">
      <c r="B34" t="s">
        <v>37</v>
      </c>
      <c r="C34" s="16">
        <f>SUM(C32:C33)</f>
        <v>777000</v>
      </c>
      <c r="D34" s="6"/>
    </row>
    <row r="35" spans="2:17">
      <c r="B35" t="s">
        <v>38</v>
      </c>
      <c r="C35" s="17" cm="1">
        <f t="array" ref="C35">MATCH(TRUE, C56:C69&gt;0,0)-1</f>
        <v>6</v>
      </c>
      <c r="D35" s="7"/>
    </row>
    <row r="36" spans="2:17">
      <c r="C36" s="17"/>
      <c r="D36" s="7"/>
    </row>
    <row r="37" spans="2:17">
      <c r="C37" s="17"/>
      <c r="D37" s="7"/>
    </row>
    <row r="38" spans="2:17">
      <c r="B38" t="s">
        <v>39</v>
      </c>
      <c r="C38" s="17" t="s">
        <v>40</v>
      </c>
      <c r="D38" s="7"/>
    </row>
    <row r="39" spans="2:17">
      <c r="B39" t="s">
        <v>41</v>
      </c>
      <c r="C39" s="16">
        <f>C32</f>
        <v>1110000</v>
      </c>
      <c r="D39" s="7"/>
    </row>
    <row r="40" spans="2:17">
      <c r="B40" t="s">
        <v>42</v>
      </c>
      <c r="C40" s="35">
        <v>0</v>
      </c>
      <c r="D40" s="7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</row>
    <row r="41" spans="2:17">
      <c r="B41" t="s">
        <v>43</v>
      </c>
      <c r="C41" s="17">
        <v>30</v>
      </c>
      <c r="D41" s="7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</row>
    <row r="42" spans="2:17">
      <c r="B42" t="s">
        <v>44</v>
      </c>
      <c r="C42" s="35">
        <v>0.08</v>
      </c>
      <c r="D42" s="7"/>
    </row>
    <row r="43" spans="2:17">
      <c r="B43" t="s">
        <v>45</v>
      </c>
      <c r="C43" s="16">
        <f>$C$39*(1-$C$40)</f>
        <v>1110000</v>
      </c>
      <c r="D43" s="7"/>
    </row>
    <row r="44" spans="2:17">
      <c r="B44" t="s">
        <v>46</v>
      </c>
      <c r="C44" s="38">
        <f>PMT($C$42/12, $C$41*12, -1*$C$43)</f>
        <v>8144.7867700610768</v>
      </c>
      <c r="D44" s="7"/>
    </row>
    <row r="45" spans="2:17">
      <c r="C45" s="16"/>
      <c r="D45" s="7"/>
    </row>
    <row r="46" spans="2:17">
      <c r="B46" s="39" t="s">
        <v>47</v>
      </c>
      <c r="C46" s="40">
        <f>$C$4*$C$10/12</f>
        <v>355</v>
      </c>
      <c r="D46" s="7"/>
    </row>
    <row r="47" spans="2:17">
      <c r="B47" s="39" t="s">
        <v>48</v>
      </c>
      <c r="C47" s="48">
        <f>(C46-C30/12)+C44</f>
        <v>-1351.4632299389232</v>
      </c>
      <c r="D47" s="44"/>
    </row>
    <row r="48" spans="2:17">
      <c r="B48" s="45" t="s">
        <v>49</v>
      </c>
      <c r="C48" s="46">
        <f>(C46-Table3[[#Totals],[$$]])*12</f>
        <v>20477.558759267078</v>
      </c>
    </row>
    <row r="49" spans="1:6">
      <c r="B49" s="45" t="s">
        <v>50</v>
      </c>
      <c r="C49" s="47">
        <f>(C46-Table3[[#Totals],[$$]])/C46</f>
        <v>4.8069386758842905</v>
      </c>
      <c r="D49" s="7"/>
    </row>
    <row r="50" spans="1:6">
      <c r="C50" s="17"/>
      <c r="D50" s="41"/>
    </row>
    <row r="51" spans="1:6">
      <c r="C51" s="17"/>
      <c r="D51" s="7"/>
    </row>
    <row r="52" spans="1:6">
      <c r="C52" s="17"/>
      <c r="D52" s="7"/>
    </row>
    <row r="53" spans="1:6">
      <c r="C53" s="17"/>
      <c r="D53" s="7"/>
    </row>
    <row r="55" spans="1:6">
      <c r="B55" t="s">
        <v>51</v>
      </c>
      <c r="C55" s="23">
        <f>NPV($C$20, C56:C67)</f>
        <v>-839527.30844515224</v>
      </c>
      <c r="D55" s="24" t="s">
        <v>52</v>
      </c>
      <c r="E55" t="s">
        <v>53</v>
      </c>
    </row>
    <row r="56" spans="1:6">
      <c r="A56" t="s">
        <v>54</v>
      </c>
      <c r="B56">
        <v>0</v>
      </c>
      <c r="C56" s="25">
        <f>C34*-1</f>
        <v>-777000</v>
      </c>
      <c r="D56" s="26">
        <v>0</v>
      </c>
    </row>
    <row r="57" spans="1:6">
      <c r="A57" t="s">
        <v>54</v>
      </c>
      <c r="B57">
        <v>1</v>
      </c>
      <c r="C57" s="23">
        <f t="shared" ref="C57:C69" si="0">C56+D57+C$30*(1+$C$17)^$B57</f>
        <v>-627949.20000000007</v>
      </c>
      <c r="D57" s="27">
        <f>E57*$C$11*$C$13</f>
        <v>26107.200000000001</v>
      </c>
      <c r="E57" s="27">
        <f>$C$34*$C$11</f>
        <v>310800</v>
      </c>
      <c r="F57" s="27"/>
    </row>
    <row r="58" spans="1:6">
      <c r="A58" t="s">
        <v>54</v>
      </c>
      <c r="B58">
        <v>2</v>
      </c>
      <c r="C58" s="23">
        <f t="shared" si="0"/>
        <v>-470717.25600000005</v>
      </c>
      <c r="D58" s="27">
        <f>E58*$C$12*$C$13</f>
        <v>29370.6</v>
      </c>
      <c r="E58" s="27">
        <f>$C$34-SUM($E$57)</f>
        <v>466200</v>
      </c>
      <c r="F58" s="27"/>
    </row>
    <row r="59" spans="1:6">
      <c r="A59" t="s">
        <v>54</v>
      </c>
      <c r="B59">
        <v>3</v>
      </c>
      <c r="C59" s="23">
        <f t="shared" si="0"/>
        <v>-337741.45824000007</v>
      </c>
      <c r="D59" s="27">
        <f t="shared" ref="D59:D67" si="1">E59*$C$12*$C$13</f>
        <v>0</v>
      </c>
      <c r="E59" s="27">
        <f>$C$34-SUM($E$57:E58)</f>
        <v>0</v>
      </c>
      <c r="F59" s="27"/>
    </row>
    <row r="60" spans="1:6">
      <c r="A60" t="s">
        <v>54</v>
      </c>
      <c r="B60">
        <v>4</v>
      </c>
      <c r="C60" s="23">
        <f t="shared" si="0"/>
        <v>-199446.62856960003</v>
      </c>
      <c r="D60" s="27">
        <f t="shared" si="1"/>
        <v>0</v>
      </c>
      <c r="E60" s="27">
        <f>$C$34-SUM($E$57:E59)</f>
        <v>0</v>
      </c>
      <c r="F60" s="27"/>
    </row>
    <row r="61" spans="1:6">
      <c r="A61" t="s">
        <v>54</v>
      </c>
      <c r="B61">
        <v>5</v>
      </c>
      <c r="C61" s="28">
        <f t="shared" si="0"/>
        <v>-55620.00571238398</v>
      </c>
      <c r="D61" s="27">
        <f t="shared" si="1"/>
        <v>0</v>
      </c>
      <c r="E61" s="27">
        <f>$C$34-SUM($E$57:E60)</f>
        <v>0</v>
      </c>
      <c r="F61" s="27"/>
    </row>
    <row r="62" spans="1:6">
      <c r="A62" t="s">
        <v>54</v>
      </c>
      <c r="B62">
        <v>6</v>
      </c>
      <c r="C62" s="28">
        <f t="shared" si="0"/>
        <v>93959.682059120707</v>
      </c>
      <c r="D62" s="27">
        <f t="shared" si="1"/>
        <v>0</v>
      </c>
      <c r="E62" s="27">
        <f>$C$34-SUM($E$57:E61)</f>
        <v>0</v>
      </c>
      <c r="F62" s="27"/>
    </row>
    <row r="63" spans="1:6">
      <c r="A63" t="s">
        <v>54</v>
      </c>
      <c r="B63">
        <v>7</v>
      </c>
      <c r="C63" s="28">
        <f t="shared" si="0"/>
        <v>249522.55734148558</v>
      </c>
      <c r="D63" s="27">
        <f t="shared" si="1"/>
        <v>0</v>
      </c>
      <c r="E63" s="27">
        <f>$C$34-SUM($E$57:E62)</f>
        <v>0</v>
      </c>
    </row>
    <row r="64" spans="1:6">
      <c r="A64" t="s">
        <v>54</v>
      </c>
      <c r="B64">
        <v>8</v>
      </c>
      <c r="C64" s="28">
        <f t="shared" si="0"/>
        <v>411307.94763514504</v>
      </c>
      <c r="D64" s="27">
        <f t="shared" si="1"/>
        <v>0</v>
      </c>
      <c r="E64" s="27">
        <f>$C$34-SUM($E$57:E63)</f>
        <v>0</v>
      </c>
    </row>
    <row r="65" spans="1:5">
      <c r="A65" t="s">
        <v>54</v>
      </c>
      <c r="B65">
        <v>9</v>
      </c>
      <c r="C65" s="28">
        <f t="shared" si="0"/>
        <v>579564.75354055094</v>
      </c>
      <c r="D65" s="27">
        <f t="shared" si="1"/>
        <v>0</v>
      </c>
      <c r="E65" s="27">
        <f>$C$34-SUM($E$57:E64)</f>
        <v>0</v>
      </c>
    </row>
    <row r="66" spans="1:5">
      <c r="A66" t="s">
        <v>54</v>
      </c>
      <c r="B66">
        <v>10</v>
      </c>
      <c r="C66" s="28">
        <f t="shared" si="0"/>
        <v>754551.83168217307</v>
      </c>
      <c r="D66" s="27">
        <f t="shared" si="1"/>
        <v>0</v>
      </c>
      <c r="E66" s="27">
        <f>$C$34-SUM($E$57:E65)</f>
        <v>0</v>
      </c>
    </row>
    <row r="67" spans="1:5">
      <c r="A67" t="s">
        <v>54</v>
      </c>
      <c r="B67">
        <v>11</v>
      </c>
      <c r="C67" s="28">
        <f t="shared" si="0"/>
        <v>936538.39294946007</v>
      </c>
      <c r="D67" s="27">
        <f t="shared" si="1"/>
        <v>0</v>
      </c>
      <c r="E67" s="27">
        <f>$C$34-SUM($E$57:E66)</f>
        <v>0</v>
      </c>
    </row>
    <row r="68" spans="1:5">
      <c r="A68" t="s">
        <v>54</v>
      </c>
      <c r="B68">
        <v>12</v>
      </c>
      <c r="C68" s="28">
        <f t="shared" si="0"/>
        <v>1125804.4166674386</v>
      </c>
      <c r="D68" s="27">
        <f t="shared" ref="D68" si="2">E68*$C$12*$C$13</f>
        <v>0</v>
      </c>
      <c r="E68" s="27">
        <f>$C$34-SUM($E$57:E67)</f>
        <v>0</v>
      </c>
    </row>
    <row r="69" spans="1:5">
      <c r="A69" t="s">
        <v>54</v>
      </c>
      <c r="B69">
        <v>13</v>
      </c>
      <c r="C69" s="28">
        <f t="shared" si="0"/>
        <v>1322641.0813341362</v>
      </c>
    </row>
  </sheetData>
  <mergeCells count="1">
    <mergeCell ref="B2:D2"/>
  </mergeCells>
  <phoneticPr fontId="3" type="noConversion"/>
  <pageMargins left="0.75" right="0.75" top="1" bottom="1" header="0.5" footer="0.5"/>
  <pageSetup orientation="portrait" horizontalDpi="0" verticalDpi="0"/>
  <ignoredErrors>
    <ignoredError sqref="C43" calculatedColumn="1"/>
  </ignoredErrors>
  <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696FDD7-677B-464E-93EA-856083278DB0}">
          <x14:formula1>
            <xm:f>Data!$A$2:$A$5</xm:f>
          </x14:formula1>
          <xm:sqref>C5</xm:sqref>
        </x14:dataValidation>
        <x14:dataValidation type="list" allowBlank="1" showInputMessage="1" showErrorMessage="1" xr:uid="{53D9359A-B654-C844-B898-4F62114E0DD4}">
          <x14:formula1>
            <xm:f>Data!$E$1:$E$5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6"/>
  <sheetViews>
    <sheetView zoomScale="139" workbookViewId="0">
      <selection activeCell="C26" sqref="C26"/>
    </sheetView>
  </sheetViews>
  <sheetFormatPr defaultColWidth="8.85546875" defaultRowHeight="15"/>
  <cols>
    <col min="1" max="1" width="4.85546875" customWidth="1"/>
    <col min="2" max="2" width="34" customWidth="1"/>
    <col min="3" max="3" width="18" customWidth="1"/>
    <col min="4" max="4" width="12.42578125" customWidth="1"/>
    <col min="5" max="5" width="12.7109375" bestFit="1" customWidth="1"/>
    <col min="6" max="6" width="12.140625" bestFit="1" customWidth="1"/>
  </cols>
  <sheetData>
    <row r="2" spans="2:5">
      <c r="B2" s="49" t="s">
        <v>55</v>
      </c>
      <c r="C2" s="49"/>
      <c r="D2" s="49"/>
    </row>
    <row r="4" spans="2:5">
      <c r="B4" t="s">
        <v>1</v>
      </c>
      <c r="C4" s="10">
        <v>1261586</v>
      </c>
      <c r="D4" t="s">
        <v>2</v>
      </c>
    </row>
    <row r="5" spans="2:5">
      <c r="B5" t="s">
        <v>3</v>
      </c>
      <c r="C5" s="10" t="s">
        <v>56</v>
      </c>
    </row>
    <row r="6" spans="2:5">
      <c r="B6" t="s">
        <v>7</v>
      </c>
      <c r="C6" s="10">
        <v>0</v>
      </c>
      <c r="D6" t="s">
        <v>8</v>
      </c>
      <c r="E6" s="9"/>
    </row>
    <row r="7" spans="2:5">
      <c r="B7" t="s">
        <v>57</v>
      </c>
      <c r="C7" s="11">
        <v>0</v>
      </c>
      <c r="E7" s="9"/>
    </row>
    <row r="8" spans="2:5">
      <c r="B8" t="s">
        <v>9</v>
      </c>
      <c r="C8" s="10">
        <v>300</v>
      </c>
      <c r="D8" t="s">
        <v>10</v>
      </c>
      <c r="E8" s="9" t="s">
        <v>11</v>
      </c>
    </row>
    <row r="9" spans="2:5">
      <c r="B9" s="19" t="s">
        <v>13</v>
      </c>
      <c r="C9" s="37">
        <v>0.23</v>
      </c>
      <c r="D9" s="19" t="s">
        <v>14</v>
      </c>
    </row>
    <row r="10" spans="2:5">
      <c r="B10" s="19" t="s">
        <v>15</v>
      </c>
      <c r="C10" s="18">
        <v>0.55000000000000004</v>
      </c>
      <c r="D10" s="19"/>
    </row>
    <row r="11" spans="2:5">
      <c r="B11" s="19" t="s">
        <v>16</v>
      </c>
      <c r="C11" s="18">
        <v>0.3</v>
      </c>
      <c r="D11" s="20"/>
    </row>
    <row r="12" spans="2:5">
      <c r="B12" s="19" t="s">
        <v>58</v>
      </c>
      <c r="C12" s="18">
        <v>0.26</v>
      </c>
      <c r="D12" s="19"/>
    </row>
    <row r="13" spans="2:5">
      <c r="B13" s="19" t="s">
        <v>18</v>
      </c>
      <c r="C13" s="20">
        <f>IF(C8 = 0, MIN(C4/1200,ROUND(C6/100,0)), C8)</f>
        <v>300</v>
      </c>
      <c r="D13" s="19" t="s">
        <v>10</v>
      </c>
    </row>
    <row r="14" spans="2:5">
      <c r="B14" s="19" t="s">
        <v>59</v>
      </c>
      <c r="C14" s="21">
        <f>C13*1000*C17</f>
        <v>900000</v>
      </c>
      <c r="D14" s="22"/>
    </row>
    <row r="15" spans="2:5">
      <c r="B15" s="19" t="s">
        <v>21</v>
      </c>
      <c r="C15" s="18">
        <v>0.04</v>
      </c>
      <c r="D15" s="18"/>
    </row>
    <row r="16" spans="2:5">
      <c r="B16" s="19" t="s">
        <v>24</v>
      </c>
      <c r="C16" s="18">
        <v>0.1</v>
      </c>
      <c r="D16" s="18"/>
    </row>
    <row r="17" spans="2:4">
      <c r="B17" s="19" t="s">
        <v>60</v>
      </c>
      <c r="C17" s="29">
        <v>3</v>
      </c>
      <c r="D17" s="18" t="s">
        <v>26</v>
      </c>
    </row>
    <row r="18" spans="2:4">
      <c r="B18" s="19"/>
      <c r="C18" s="18"/>
      <c r="D18" s="18"/>
    </row>
    <row r="19" spans="2:4">
      <c r="B19" s="19"/>
      <c r="C19" s="18"/>
      <c r="D19" s="18"/>
    </row>
    <row r="20" spans="2:4">
      <c r="C20" s="2"/>
      <c r="D20" s="2"/>
    </row>
    <row r="21" spans="2:4">
      <c r="B21" t="s">
        <v>27</v>
      </c>
      <c r="C21" s="12" t="str">
        <f>ROUND(C13,0) &amp;" kW"</f>
        <v>300 kW</v>
      </c>
    </row>
    <row r="22" spans="2:4">
      <c r="B22" s="1" t="s">
        <v>28</v>
      </c>
      <c r="C22" s="1" t="s">
        <v>29</v>
      </c>
      <c r="D22" s="8"/>
    </row>
    <row r="23" spans="2:4">
      <c r="B23" t="s">
        <v>30</v>
      </c>
      <c r="C23" s="13">
        <f>C4*(1-VLOOKUP(C5, Data!A2:B5, 2, 0))</f>
        <v>378475.80000000005</v>
      </c>
      <c r="D23" s="3"/>
    </row>
    <row r="24" spans="2:4">
      <c r="B24" t="s">
        <v>61</v>
      </c>
      <c r="C24" s="13">
        <f>$C$13*1200</f>
        <v>360000</v>
      </c>
      <c r="D24" s="3"/>
    </row>
    <row r="25" spans="2:4">
      <c r="B25" t="s">
        <v>62</v>
      </c>
      <c r="C25" s="14">
        <f>($C$4-C23)*$C$9</f>
        <v>203115.34599999999</v>
      </c>
      <c r="D25" s="4"/>
    </row>
    <row r="26" spans="2:4">
      <c r="B26" t="s">
        <v>34</v>
      </c>
      <c r="C26" s="15">
        <f>($C$24)/$C$4</f>
        <v>0.28535510064315867</v>
      </c>
      <c r="D26" s="5"/>
    </row>
    <row r="27" spans="2:4">
      <c r="B27" s="30" t="s">
        <v>63</v>
      </c>
      <c r="C27" s="31">
        <f>$C$14+$C$7</f>
        <v>900000</v>
      </c>
      <c r="D27" s="4"/>
    </row>
    <row r="28" spans="2:4">
      <c r="B28" t="s">
        <v>64</v>
      </c>
      <c r="C28" s="16">
        <f>-1*$C$13*860</f>
        <v>-258000</v>
      </c>
      <c r="D28" s="6"/>
    </row>
    <row r="29" spans="2:4">
      <c r="B29" t="s">
        <v>65</v>
      </c>
      <c r="C29" s="16">
        <f>-1*SUM(C27:C28)*0.3</f>
        <v>-192600</v>
      </c>
      <c r="D29" s="6"/>
    </row>
    <row r="30" spans="2:4">
      <c r="B30" t="s">
        <v>66</v>
      </c>
      <c r="C30" s="16">
        <f>SUM(C27:C29)</f>
        <v>449400</v>
      </c>
      <c r="D30" s="6"/>
    </row>
    <row r="31" spans="2:4">
      <c r="B31" t="s">
        <v>38</v>
      </c>
      <c r="C31" s="17" cm="1">
        <f t="array" ref="C31">MATCH(TRUE, C35:C46&gt;0,0)-1</f>
        <v>2</v>
      </c>
      <c r="D31" s="7"/>
    </row>
    <row r="32" spans="2:4">
      <c r="C32" s="17"/>
      <c r="D32" s="7"/>
    </row>
    <row r="34" spans="1:6">
      <c r="B34" t="s">
        <v>51</v>
      </c>
      <c r="C34" s="23">
        <f>NPV($C$16, C35:C46)</f>
        <v>4359623.8029733999</v>
      </c>
      <c r="D34" s="24" t="s">
        <v>52</v>
      </c>
      <c r="E34" t="s">
        <v>53</v>
      </c>
    </row>
    <row r="35" spans="1:6">
      <c r="A35" t="s">
        <v>54</v>
      </c>
      <c r="B35">
        <v>0</v>
      </c>
      <c r="C35" s="25">
        <f>C30*-1</f>
        <v>-449400</v>
      </c>
      <c r="D35" s="26">
        <v>0</v>
      </c>
    </row>
    <row r="36" spans="1:6">
      <c r="A36" t="s">
        <v>54</v>
      </c>
      <c r="B36">
        <v>1</v>
      </c>
      <c r="C36" s="23">
        <f t="shared" ref="C36:C46" si="0">C35+D36+C$25*(1+$C$15)^$B36</f>
        <v>-202814.73016000001</v>
      </c>
      <c r="D36" s="27">
        <f>E36*$C$10*$C$12</f>
        <v>35345.310000000012</v>
      </c>
      <c r="E36" s="27">
        <f>$C$30*$C$10</f>
        <v>247170.00000000003</v>
      </c>
      <c r="F36" s="27"/>
    </row>
    <row r="37" spans="1:6">
      <c r="A37" t="s">
        <v>54</v>
      </c>
      <c r="B37">
        <v>2</v>
      </c>
      <c r="C37" s="23">
        <f t="shared" si="0"/>
        <v>32648.768073600018</v>
      </c>
      <c r="D37" s="27">
        <f>E37*$C$11*$C$12</f>
        <v>15773.939999999997</v>
      </c>
      <c r="E37" s="27">
        <f>$C$30-SUM($E$36)</f>
        <v>202229.99999999997</v>
      </c>
      <c r="F37" s="27"/>
    </row>
    <row r="38" spans="1:6">
      <c r="A38" t="s">
        <v>54</v>
      </c>
      <c r="B38">
        <v>3</v>
      </c>
      <c r="C38" s="23">
        <f t="shared" si="0"/>
        <v>261125.90863654402</v>
      </c>
      <c r="D38" s="27">
        <f t="shared" ref="D38:D46" si="1">E38*$C$11*$C$12</f>
        <v>0</v>
      </c>
      <c r="E38" s="27">
        <f>$C$30-SUM($E$36:E37)</f>
        <v>0</v>
      </c>
      <c r="F38" s="27"/>
    </row>
    <row r="39" spans="1:6">
      <c r="A39" t="s">
        <v>54</v>
      </c>
      <c r="B39">
        <v>4</v>
      </c>
      <c r="C39" s="23">
        <f t="shared" si="0"/>
        <v>498742.13482200581</v>
      </c>
      <c r="D39" s="27">
        <f t="shared" si="1"/>
        <v>0</v>
      </c>
      <c r="E39" s="27">
        <f>$C$30-SUM($E$36:E38)</f>
        <v>0</v>
      </c>
      <c r="F39" s="27"/>
    </row>
    <row r="40" spans="1:6">
      <c r="A40" t="s">
        <v>54</v>
      </c>
      <c r="B40">
        <v>5</v>
      </c>
      <c r="C40" s="28">
        <f t="shared" si="0"/>
        <v>745863.01005488611</v>
      </c>
      <c r="D40" s="27">
        <f t="shared" si="1"/>
        <v>0</v>
      </c>
      <c r="E40" s="27">
        <f>$C$30-SUM($E$36:E39)</f>
        <v>0</v>
      </c>
      <c r="F40" s="27"/>
    </row>
    <row r="41" spans="1:6">
      <c r="A41" t="s">
        <v>54</v>
      </c>
      <c r="B41">
        <v>6</v>
      </c>
      <c r="C41" s="28">
        <f t="shared" si="0"/>
        <v>1002868.7202970816</v>
      </c>
      <c r="D41" s="27">
        <f t="shared" si="1"/>
        <v>0</v>
      </c>
      <c r="E41" s="27">
        <f>$C$30-SUM($E$36:E40)</f>
        <v>0</v>
      </c>
      <c r="F41" s="27"/>
    </row>
    <row r="42" spans="1:6">
      <c r="A42" t="s">
        <v>54</v>
      </c>
      <c r="B42">
        <v>7</v>
      </c>
      <c r="C42" s="28">
        <f t="shared" si="0"/>
        <v>1270154.6589489649</v>
      </c>
      <c r="D42" s="27">
        <f t="shared" si="1"/>
        <v>0</v>
      </c>
      <c r="E42" s="27">
        <f>$C$30-SUM($E$36:E41)</f>
        <v>0</v>
      </c>
    </row>
    <row r="43" spans="1:6">
      <c r="A43" t="s">
        <v>54</v>
      </c>
      <c r="B43">
        <v>8</v>
      </c>
      <c r="C43" s="28">
        <f t="shared" si="0"/>
        <v>1548132.0351469235</v>
      </c>
      <c r="D43" s="27">
        <f t="shared" si="1"/>
        <v>0</v>
      </c>
      <c r="E43" s="27">
        <f>$C$30-SUM($E$36:E42)</f>
        <v>0</v>
      </c>
    </row>
    <row r="44" spans="1:6">
      <c r="A44" t="s">
        <v>54</v>
      </c>
      <c r="B44">
        <v>9</v>
      </c>
      <c r="C44" s="28">
        <f t="shared" si="0"/>
        <v>1837228.5063928005</v>
      </c>
      <c r="D44" s="27">
        <f t="shared" si="1"/>
        <v>0</v>
      </c>
      <c r="E44" s="27">
        <f>$C$30-SUM($E$36:E43)</f>
        <v>0</v>
      </c>
    </row>
    <row r="45" spans="1:6">
      <c r="A45" t="s">
        <v>54</v>
      </c>
      <c r="B45">
        <v>10</v>
      </c>
      <c r="C45" s="28">
        <f t="shared" si="0"/>
        <v>2137888.8364885128</v>
      </c>
      <c r="D45" s="27">
        <f t="shared" si="1"/>
        <v>0</v>
      </c>
      <c r="E45" s="27">
        <f>$C$30-SUM($E$36:E44)</f>
        <v>0</v>
      </c>
    </row>
    <row r="46" spans="1:6">
      <c r="A46" t="s">
        <v>54</v>
      </c>
      <c r="B46">
        <v>11</v>
      </c>
      <c r="C46" s="28">
        <f t="shared" si="0"/>
        <v>2450575.5797880534</v>
      </c>
      <c r="D46" s="27">
        <f t="shared" si="1"/>
        <v>0</v>
      </c>
      <c r="E46" s="27">
        <f>$C$30-SUM($E$36:E45)</f>
        <v>0</v>
      </c>
    </row>
  </sheetData>
  <mergeCells count="1">
    <mergeCell ref="B2:D2"/>
  </mergeCells>
  <phoneticPr fontId="3" type="noConversion"/>
  <pageMargins left="0.75" right="0.75" top="1" bottom="1" header="0.5" footer="0.5"/>
  <pageSetup orientation="portrait" horizontalDpi="0" verticalDpi="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A64F84-8A6F-0748-984B-F8718FB512D9}">
          <x14:formula1>
            <xm:f>Data!$A$2:$A$5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E300-50DC-AB4C-B75B-BDE0D221BB68}">
  <dimension ref="A1:F5"/>
  <sheetViews>
    <sheetView zoomScale="217" workbookViewId="0">
      <selection activeCell="B3" sqref="B3"/>
    </sheetView>
  </sheetViews>
  <sheetFormatPr defaultColWidth="10.85546875" defaultRowHeight="15"/>
  <cols>
    <col min="1" max="1" width="22.28515625" bestFit="1" customWidth="1"/>
  </cols>
  <sheetData>
    <row r="1" spans="1:6">
      <c r="A1" t="s">
        <v>67</v>
      </c>
      <c r="B1" t="s">
        <v>68</v>
      </c>
      <c r="D1" t="s">
        <v>69</v>
      </c>
      <c r="E1" t="s">
        <v>70</v>
      </c>
      <c r="F1">
        <v>1</v>
      </c>
    </row>
    <row r="2" spans="1:6">
      <c r="A2" t="s">
        <v>56</v>
      </c>
      <c r="B2" s="2">
        <v>0.7</v>
      </c>
      <c r="E2" t="s">
        <v>71</v>
      </c>
      <c r="F2">
        <v>2</v>
      </c>
    </row>
    <row r="3" spans="1:6">
      <c r="A3" t="s">
        <v>4</v>
      </c>
      <c r="B3" s="2">
        <v>0.56999999999999995</v>
      </c>
      <c r="E3" t="s">
        <v>72</v>
      </c>
      <c r="F3">
        <v>3</v>
      </c>
    </row>
    <row r="4" spans="1:6">
      <c r="A4" t="s">
        <v>73</v>
      </c>
      <c r="B4" s="2">
        <v>0.55000000000000004</v>
      </c>
      <c r="E4" t="s">
        <v>74</v>
      </c>
      <c r="F4">
        <v>4</v>
      </c>
    </row>
    <row r="5" spans="1:6">
      <c r="A5" t="s">
        <v>75</v>
      </c>
      <c r="B5" s="2">
        <v>0.3</v>
      </c>
      <c r="E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Damith Udara</cp:lastModifiedBy>
  <cp:revision/>
  <dcterms:created xsi:type="dcterms:W3CDTF">2025-09-23T00:02:05Z</dcterms:created>
  <dcterms:modified xsi:type="dcterms:W3CDTF">2026-05-13T18:04:50Z</dcterms:modified>
  <cp:category/>
  <cp:contentStatus/>
</cp:coreProperties>
</file>